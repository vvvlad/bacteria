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acteria\data\gradient_0011\"/>
    </mc:Choice>
  </mc:AlternateContent>
  <xr:revisionPtr revIDLastSave="0" documentId="13_ncr:1_{DB7C7FE7-7430-446E-8930-09D1A045EBE5}" xr6:coauthVersionLast="47" xr6:coauthVersionMax="47" xr10:uidLastSave="{00000000-0000-0000-0000-000000000000}"/>
  <bookViews>
    <workbookView xWindow="-110" yWindow="-110" windowWidth="19420" windowHeight="10300" xr2:uid="{D26D7032-BFC7-D642-8F79-00493147E76D}"/>
  </bookViews>
  <sheets>
    <sheet name="Gradient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</calcChain>
</file>

<file path=xl/sharedStrings.xml><?xml version="1.0" encoding="utf-8"?>
<sst xmlns="http://schemas.openxmlformats.org/spreadsheetml/2006/main" count="12" uniqueCount="12">
  <si>
    <t>Chanals: mCherry, Expsure time = 50 ms</t>
  </si>
  <si>
    <t>Time lapse: Interval = 0.5 min; Duration = 10 min</t>
  </si>
  <si>
    <t>Flow: 0.5 ml/min (10 min)</t>
  </si>
  <si>
    <t>Gradienr V: 5 ml</t>
  </si>
  <si>
    <r>
      <t>RhoB: 2</t>
    </r>
    <r>
      <rPr>
        <sz val="14"/>
        <color theme="1"/>
        <rFont val="Calibri"/>
        <family val="2"/>
      </rPr>
      <t xml:space="preserve">µM concentr in 20% sucrose </t>
    </r>
    <r>
      <rPr>
        <sz val="14"/>
        <color theme="1"/>
        <rFont val="Wingdings"/>
        <charset val="2"/>
      </rPr>
      <t>à</t>
    </r>
    <r>
      <rPr>
        <sz val="14"/>
        <color theme="1"/>
        <rFont val="Calibri"/>
        <family val="2"/>
      </rPr>
      <t>0%</t>
    </r>
  </si>
  <si>
    <r>
      <t xml:space="preserve">Sucrose: 20% </t>
    </r>
    <r>
      <rPr>
        <sz val="14"/>
        <color theme="1"/>
        <rFont val="Wingdings"/>
        <charset val="2"/>
      </rPr>
      <t>à</t>
    </r>
    <r>
      <rPr>
        <sz val="14"/>
        <color theme="1"/>
        <rFont val="Arial"/>
        <family val="2"/>
        <scheme val="minor"/>
      </rPr>
      <t xml:space="preserve"> 0</t>
    </r>
    <r>
      <rPr>
        <sz val="14"/>
        <color theme="1"/>
        <rFont val="Calibri"/>
        <family val="2"/>
      </rPr>
      <t>% (4 layes)</t>
    </r>
  </si>
  <si>
    <t>Gradient     7.06.23</t>
  </si>
  <si>
    <t>Time, min</t>
  </si>
  <si>
    <t>Sucr %</t>
  </si>
  <si>
    <t>Rho Int</t>
  </si>
  <si>
    <t>Image #</t>
  </si>
  <si>
    <t>Frame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</si>
</sst>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4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theme="1"/>
      <name val="Wingdings"/>
      <charset val="2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2" fillId="0" borderId="0" xfId="1" applyFont="1"/>
    <xf numFmtId="0" fontId="2" fillId="0" borderId="5" xfId="1" applyFont="1" applyBorder="1"/>
    <xf numFmtId="0" fontId="1" fillId="0" borderId="6" xfId="1" applyBorder="1"/>
    <xf numFmtId="0" fontId="2" fillId="0" borderId="7" xfId="1" applyFont="1" applyBorder="1"/>
    <xf numFmtId="0" fontId="5" fillId="0" borderId="7" xfId="1" applyFont="1" applyBorder="1"/>
    <xf numFmtId="0" fontId="5" fillId="0" borderId="8" xfId="1" applyFont="1" applyBorder="1"/>
  </cellXfs>
  <cellStyles count="2">
    <cellStyle name="Normal" xfId="0" builtinId="0"/>
    <cellStyle name="Normal 2" xfId="1" xr:uid="{6A314312-074D-6E4C-81E3-484C81F5D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Rho 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'Gradient (2)'!$A$2:$A$26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'Gradient (2)'!$B$2:$B$26</c:f>
              <c:numCache>
                <c:formatCode>General</c:formatCode>
                <c:ptCount val="25"/>
                <c:pt idx="0">
                  <c:v>7.5860000000000003</c:v>
                </c:pt>
                <c:pt idx="1">
                  <c:v>9.7590000000000003</c:v>
                </c:pt>
                <c:pt idx="2">
                  <c:v>8217.5550000000003</c:v>
                </c:pt>
                <c:pt idx="3">
                  <c:v>8542.1839999999993</c:v>
                </c:pt>
                <c:pt idx="4">
                  <c:v>8397.9120000000003</c:v>
                </c:pt>
                <c:pt idx="5">
                  <c:v>8118.6379999999999</c:v>
                </c:pt>
                <c:pt idx="6">
                  <c:v>7636.8329999999996</c:v>
                </c:pt>
                <c:pt idx="7">
                  <c:v>7198.5770000000002</c:v>
                </c:pt>
                <c:pt idx="8">
                  <c:v>6574.4409999999998</c:v>
                </c:pt>
                <c:pt idx="9">
                  <c:v>6153.6610000000001</c:v>
                </c:pt>
                <c:pt idx="10">
                  <c:v>5659.4560000000001</c:v>
                </c:pt>
                <c:pt idx="11">
                  <c:v>5136.165</c:v>
                </c:pt>
                <c:pt idx="12">
                  <c:v>4713.5559999999996</c:v>
                </c:pt>
                <c:pt idx="13">
                  <c:v>4352.549</c:v>
                </c:pt>
                <c:pt idx="14">
                  <c:v>3990.4</c:v>
                </c:pt>
                <c:pt idx="15">
                  <c:v>3647.183</c:v>
                </c:pt>
                <c:pt idx="16">
                  <c:v>3321.8519999999999</c:v>
                </c:pt>
                <c:pt idx="17">
                  <c:v>3032.502</c:v>
                </c:pt>
                <c:pt idx="18">
                  <c:v>2764.8960000000002</c:v>
                </c:pt>
                <c:pt idx="19">
                  <c:v>2556.36</c:v>
                </c:pt>
                <c:pt idx="20">
                  <c:v>2347.567</c:v>
                </c:pt>
                <c:pt idx="21">
                  <c:v>2195.3829999999998</c:v>
                </c:pt>
                <c:pt idx="22">
                  <c:v>2204.5360000000001</c:v>
                </c:pt>
                <c:pt idx="23">
                  <c:v>2195.17</c:v>
                </c:pt>
                <c:pt idx="24">
                  <c:v>2194.951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F-CD4B-B02C-B0F18318E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683568"/>
        <c:axId val="583678976"/>
      </c:scatterChart>
      <c:valAx>
        <c:axId val="5836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78976"/>
        <c:crosses val="autoZero"/>
        <c:crossBetween val="midCat"/>
      </c:valAx>
      <c:valAx>
        <c:axId val="5836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 gradient</a:t>
            </a:r>
          </a:p>
        </c:rich>
      </c:tx>
      <c:layout>
        <c:manualLayout>
          <c:xMode val="edge"/>
          <c:yMode val="edge"/>
          <c:x val="0.48727077865266855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'Gradient (2)'!$D$2:$D$26</c:f>
              <c:numCache>
                <c:formatCode>General</c:formatCode>
                <c:ptCount val="25"/>
                <c:pt idx="0">
                  <c:v>-1.5</c:v>
                </c:pt>
                <c:pt idx="1">
                  <c:v>-1</c:v>
                </c:pt>
                <c:pt idx="2">
                  <c:v>-0.5</c:v>
                </c:pt>
                <c:pt idx="3">
                  <c:v>0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</c:numCache>
            </c:numRef>
          </c:xVal>
          <c:yVal>
            <c:numRef>
              <c:f>'Gradient (2)'!$C$2:$C$26</c:f>
              <c:numCache>
                <c:formatCode>General</c:formatCode>
                <c:ptCount val="2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19.999774301102846</c:v>
                </c:pt>
                <c:pt idx="5">
                  <c:v>19.283503462426264</c:v>
                </c:pt>
                <c:pt idx="6">
                  <c:v>18.047789176711976</c:v>
                </c:pt>
                <c:pt idx="7">
                  <c:v>16.923767632726342</c:v>
                </c:pt>
                <c:pt idx="8">
                  <c:v>15.323008463708643</c:v>
                </c:pt>
                <c:pt idx="9">
                  <c:v>14.243808668889459</c:v>
                </c:pt>
                <c:pt idx="10">
                  <c:v>12.976291356758143</c:v>
                </c:pt>
                <c:pt idx="11">
                  <c:v>11.634175429597333</c:v>
                </c:pt>
                <c:pt idx="12">
                  <c:v>10.550284688381636</c:v>
                </c:pt>
                <c:pt idx="13">
                  <c:v>9.624388304693511</c:v>
                </c:pt>
                <c:pt idx="14">
                  <c:v>8.6955629648627859</c:v>
                </c:pt>
                <c:pt idx="15">
                  <c:v>7.8152936650423186</c:v>
                </c:pt>
                <c:pt idx="16">
                  <c:v>6.9808976660682216</c:v>
                </c:pt>
                <c:pt idx="17">
                  <c:v>6.2387843036676074</c:v>
                </c:pt>
                <c:pt idx="18">
                  <c:v>5.5524390869453715</c:v>
                </c:pt>
                <c:pt idx="19">
                  <c:v>5.0175942549371637</c:v>
                </c:pt>
                <c:pt idx="20">
                  <c:v>4.4820902795588609</c:v>
                </c:pt>
                <c:pt idx="21">
                  <c:v>4.0917748140548857</c:v>
                </c:pt>
                <c:pt idx="22">
                  <c:v>4.1152500641190048</c:v>
                </c:pt>
                <c:pt idx="23">
                  <c:v>4.0912285201333676</c:v>
                </c:pt>
                <c:pt idx="24">
                  <c:v>4.0906668376506801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B-1D42-BE9F-109B721C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70696"/>
        <c:axId val="508676600"/>
      </c:scatterChart>
      <c:valAx>
        <c:axId val="5086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6600"/>
        <c:crosses val="autoZero"/>
        <c:crossBetween val="midCat"/>
      </c:valAx>
      <c:valAx>
        <c:axId val="50867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 gradient</a:t>
            </a:r>
          </a:p>
        </c:rich>
      </c:tx>
      <c:layout>
        <c:manualLayout>
          <c:xMode val="edge"/>
          <c:yMode val="edge"/>
          <c:x val="0.48727077865266855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'Gradient (2)'!$E$2:$E$26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'Gradient (2)'!$C$2:$C$26</c:f>
              <c:numCache>
                <c:formatCode>General</c:formatCode>
                <c:ptCount val="2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19.999774301102846</c:v>
                </c:pt>
                <c:pt idx="5">
                  <c:v>19.283503462426264</c:v>
                </c:pt>
                <c:pt idx="6">
                  <c:v>18.047789176711976</c:v>
                </c:pt>
                <c:pt idx="7">
                  <c:v>16.923767632726342</c:v>
                </c:pt>
                <c:pt idx="8">
                  <c:v>15.323008463708643</c:v>
                </c:pt>
                <c:pt idx="9">
                  <c:v>14.243808668889459</c:v>
                </c:pt>
                <c:pt idx="10">
                  <c:v>12.976291356758143</c:v>
                </c:pt>
                <c:pt idx="11">
                  <c:v>11.634175429597333</c:v>
                </c:pt>
                <c:pt idx="12">
                  <c:v>10.550284688381636</c:v>
                </c:pt>
                <c:pt idx="13">
                  <c:v>9.624388304693511</c:v>
                </c:pt>
                <c:pt idx="14">
                  <c:v>8.6955629648627859</c:v>
                </c:pt>
                <c:pt idx="15">
                  <c:v>7.8152936650423186</c:v>
                </c:pt>
                <c:pt idx="16">
                  <c:v>6.9808976660682216</c:v>
                </c:pt>
                <c:pt idx="17">
                  <c:v>6.2387843036676074</c:v>
                </c:pt>
                <c:pt idx="18">
                  <c:v>5.5524390869453715</c:v>
                </c:pt>
                <c:pt idx="19">
                  <c:v>5.0175942549371637</c:v>
                </c:pt>
                <c:pt idx="20">
                  <c:v>4.4820902795588609</c:v>
                </c:pt>
                <c:pt idx="21">
                  <c:v>4.0917748140548857</c:v>
                </c:pt>
                <c:pt idx="22">
                  <c:v>4.1152500641190048</c:v>
                </c:pt>
                <c:pt idx="23">
                  <c:v>4.0912285201333676</c:v>
                </c:pt>
                <c:pt idx="24">
                  <c:v>4.0906668376506801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B-1D42-BE9F-109B721C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70696"/>
        <c:axId val="508676600"/>
      </c:scatterChart>
      <c:valAx>
        <c:axId val="5086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6600"/>
        <c:crosses val="autoZero"/>
        <c:crossBetween val="midCat"/>
      </c:valAx>
      <c:valAx>
        <c:axId val="50867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101600</xdr:colOff>
      <xdr:row>16</xdr:row>
      <xdr:rowOff>165100</xdr:rowOff>
    </xdr:from>
    <xdr:to>
      <xdr:col>23</xdr:col>
      <xdr:colOff>406400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86FC3-22EE-274C-860B-0DFA4A165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44450</xdr:colOff>
      <xdr:row>0</xdr:row>
      <xdr:rowOff>123825</xdr:rowOff>
    </xdr:from>
    <xdr:to>
      <xdr:col>16</xdr:col>
      <xdr:colOff>412750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CF1641-0C1A-3547-9BDE-2ACF0B1CC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514350</xdr:colOff>
      <xdr:row>15</xdr:row>
      <xdr:rowOff>187325</xdr:rowOff>
    </xdr:from>
    <xdr:to>
      <xdr:col>14</xdr:col>
      <xdr:colOff>209550</xdr:colOff>
      <xdr:row>32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89FEEE-2B07-A128-BCD5-38797011E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6660-4447-EB49-ACBC-5C7ACEF2DA50}">
  <dimension ref="A1:W26"/>
  <sheetViews>
    <sheetView tabSelected="1" workbookViewId="0">
      <selection activeCell="E1" sqref="E1"/>
    </sheetView>
  </sheetViews>
  <sheetFormatPr defaultColWidth="8.84375" defaultRowHeight="14" x14ac:dyDescent="0.3"/>
  <cols>
    <col min="1" max="16384" width="8.84375" style="1"/>
  </cols>
  <sheetData>
    <row r="1" spans="1:23" x14ac:dyDescent="0.3">
      <c r="A1" s="1" t="s">
        <v>10</v>
      </c>
      <c r="B1" s="1" t="s">
        <v>9</v>
      </c>
      <c r="C1" s="1" t="s">
        <v>8</v>
      </c>
      <c r="D1" s="1" t="s">
        <v>7</v>
      </c>
      <c r="E1" s="1" t="s">
        <v>11</v>
      </c>
    </row>
    <row r="2" spans="1:23" x14ac:dyDescent="0.3">
      <c r="A2" s="1">
        <v>1</v>
      </c>
      <c r="B2" s="1">
        <v>7.5860000000000003</v>
      </c>
      <c r="C2" s="1">
        <v>20</v>
      </c>
      <c r="D2" s="1">
        <v>-1.5</v>
      </c>
      <c r="E2" s="1">
        <f>A2-1</f>
        <v>0</v>
      </c>
    </row>
    <row r="3" spans="1:23" ht="14.5" thickBot="1" x14ac:dyDescent="0.35">
      <c r="A3" s="1">
        <v>2</v>
      </c>
      <c r="B3" s="1">
        <v>9.7590000000000003</v>
      </c>
      <c r="C3" s="1">
        <v>20</v>
      </c>
      <c r="D3" s="1">
        <v>-1</v>
      </c>
      <c r="E3" s="1">
        <f t="shared" ref="E3:E26" si="0">A3-1</f>
        <v>1</v>
      </c>
    </row>
    <row r="4" spans="1:23" ht="20" x14ac:dyDescent="0.4">
      <c r="A4" s="1">
        <v>3</v>
      </c>
      <c r="B4" s="1">
        <v>8217.5550000000003</v>
      </c>
      <c r="C4" s="1">
        <v>20</v>
      </c>
      <c r="D4" s="1">
        <v>-0.5</v>
      </c>
      <c r="E4" s="1">
        <f t="shared" si="0"/>
        <v>2</v>
      </c>
      <c r="R4" s="11" t="s">
        <v>6</v>
      </c>
      <c r="S4" s="10"/>
      <c r="T4" s="10"/>
      <c r="U4" s="9"/>
      <c r="V4" s="9"/>
      <c r="W4" s="8"/>
    </row>
    <row r="5" spans="1:23" ht="18.5" x14ac:dyDescent="0.45">
      <c r="A5" s="1">
        <v>4</v>
      </c>
      <c r="B5" s="1">
        <v>8542.1839999999993</v>
      </c>
      <c r="C5" s="1">
        <v>20</v>
      </c>
      <c r="D5" s="1">
        <v>0</v>
      </c>
      <c r="E5" s="1">
        <f t="shared" si="0"/>
        <v>3</v>
      </c>
      <c r="R5" s="7" t="s">
        <v>5</v>
      </c>
      <c r="S5" s="6"/>
      <c r="T5" s="6"/>
      <c r="U5" s="6"/>
      <c r="V5" s="6"/>
      <c r="W5" s="5"/>
    </row>
    <row r="6" spans="1:23" ht="18.5" x14ac:dyDescent="0.45">
      <c r="A6" s="1">
        <v>5</v>
      </c>
      <c r="B6" s="1">
        <v>8397.9120000000003</v>
      </c>
      <c r="C6" s="1">
        <f t="shared" ref="C6:C26" si="1">(B6-600)*20/(8398-600)</f>
        <v>19.999774301102846</v>
      </c>
      <c r="D6" s="1">
        <v>0.5</v>
      </c>
      <c r="E6" s="1">
        <f t="shared" si="0"/>
        <v>4</v>
      </c>
      <c r="R6" s="7" t="s">
        <v>4</v>
      </c>
      <c r="S6" s="6"/>
      <c r="T6" s="6"/>
      <c r="U6" s="6"/>
      <c r="V6" s="6"/>
      <c r="W6" s="5"/>
    </row>
    <row r="7" spans="1:23" ht="17.5" x14ac:dyDescent="0.35">
      <c r="A7" s="1">
        <v>6</v>
      </c>
      <c r="B7" s="1">
        <v>8118.6379999999999</v>
      </c>
      <c r="C7" s="1">
        <f t="shared" si="1"/>
        <v>19.283503462426264</v>
      </c>
      <c r="D7" s="1">
        <v>1</v>
      </c>
      <c r="E7" s="1">
        <f t="shared" si="0"/>
        <v>5</v>
      </c>
      <c r="R7" s="7" t="s">
        <v>3</v>
      </c>
      <c r="S7" s="6"/>
      <c r="T7" s="6"/>
      <c r="U7" s="6"/>
      <c r="V7" s="6"/>
      <c r="W7" s="5"/>
    </row>
    <row r="8" spans="1:23" ht="17.5" x14ac:dyDescent="0.35">
      <c r="A8" s="1">
        <v>7</v>
      </c>
      <c r="B8" s="1">
        <v>7636.8329999999996</v>
      </c>
      <c r="C8" s="1">
        <f t="shared" si="1"/>
        <v>18.047789176711976</v>
      </c>
      <c r="D8" s="1">
        <v>1.5</v>
      </c>
      <c r="E8" s="1">
        <f t="shared" si="0"/>
        <v>6</v>
      </c>
      <c r="R8" s="7" t="s">
        <v>2</v>
      </c>
      <c r="S8" s="6"/>
      <c r="T8" s="6"/>
      <c r="U8" s="6"/>
      <c r="V8" s="6"/>
      <c r="W8" s="5"/>
    </row>
    <row r="9" spans="1:23" ht="17.5" x14ac:dyDescent="0.35">
      <c r="A9" s="1">
        <v>8</v>
      </c>
      <c r="B9" s="1">
        <v>7198.5770000000002</v>
      </c>
      <c r="C9" s="1">
        <f t="shared" si="1"/>
        <v>16.923767632726342</v>
      </c>
      <c r="D9" s="1">
        <v>2</v>
      </c>
      <c r="E9" s="1">
        <f t="shared" si="0"/>
        <v>7</v>
      </c>
      <c r="R9" s="7" t="s">
        <v>1</v>
      </c>
      <c r="S9" s="6"/>
      <c r="T9" s="6"/>
      <c r="U9" s="6"/>
      <c r="V9" s="6"/>
      <c r="W9" s="5"/>
    </row>
    <row r="10" spans="1:23" ht="17.5" x14ac:dyDescent="0.35">
      <c r="A10" s="1">
        <v>9</v>
      </c>
      <c r="B10" s="1">
        <v>6574.4409999999998</v>
      </c>
      <c r="C10" s="1">
        <f t="shared" si="1"/>
        <v>15.323008463708643</v>
      </c>
      <c r="D10" s="1">
        <v>2.5</v>
      </c>
      <c r="E10" s="1">
        <f t="shared" si="0"/>
        <v>8</v>
      </c>
      <c r="R10" s="7" t="s">
        <v>0</v>
      </c>
      <c r="S10" s="6"/>
      <c r="T10" s="6"/>
      <c r="U10" s="6"/>
      <c r="V10" s="6"/>
      <c r="W10" s="5"/>
    </row>
    <row r="11" spans="1:23" ht="14.5" thickBot="1" x14ac:dyDescent="0.35">
      <c r="A11" s="1">
        <v>10</v>
      </c>
      <c r="B11" s="1">
        <v>6153.6610000000001</v>
      </c>
      <c r="C11" s="1">
        <f t="shared" si="1"/>
        <v>14.243808668889459</v>
      </c>
      <c r="D11" s="1">
        <v>3</v>
      </c>
      <c r="E11" s="1">
        <f t="shared" si="0"/>
        <v>9</v>
      </c>
      <c r="R11" s="4"/>
      <c r="S11" s="3"/>
      <c r="T11" s="3"/>
      <c r="U11" s="3"/>
      <c r="V11" s="3"/>
      <c r="W11" s="2"/>
    </row>
    <row r="12" spans="1:23" x14ac:dyDescent="0.3">
      <c r="A12" s="1">
        <v>11</v>
      </c>
      <c r="B12" s="1">
        <v>5659.4560000000001</v>
      </c>
      <c r="C12" s="1">
        <f t="shared" si="1"/>
        <v>12.976291356758143</v>
      </c>
      <c r="D12" s="1">
        <v>3.5</v>
      </c>
      <c r="E12" s="1">
        <f t="shared" si="0"/>
        <v>10</v>
      </c>
    </row>
    <row r="13" spans="1:23" x14ac:dyDescent="0.3">
      <c r="A13" s="1">
        <v>12</v>
      </c>
      <c r="B13" s="1">
        <v>5136.165</v>
      </c>
      <c r="C13" s="1">
        <f t="shared" si="1"/>
        <v>11.634175429597333</v>
      </c>
      <c r="D13" s="1">
        <v>4</v>
      </c>
      <c r="E13" s="1">
        <f t="shared" si="0"/>
        <v>11</v>
      </c>
    </row>
    <row r="14" spans="1:23" x14ac:dyDescent="0.3">
      <c r="A14" s="1">
        <v>13</v>
      </c>
      <c r="B14" s="1">
        <v>4713.5559999999996</v>
      </c>
      <c r="C14" s="1">
        <f t="shared" si="1"/>
        <v>10.550284688381636</v>
      </c>
      <c r="D14" s="1">
        <v>4.5</v>
      </c>
      <c r="E14" s="1">
        <f t="shared" si="0"/>
        <v>12</v>
      </c>
    </row>
    <row r="15" spans="1:23" x14ac:dyDescent="0.3">
      <c r="A15" s="1">
        <v>14</v>
      </c>
      <c r="B15" s="1">
        <v>4352.549</v>
      </c>
      <c r="C15" s="1">
        <f t="shared" si="1"/>
        <v>9.624388304693511</v>
      </c>
      <c r="D15" s="1">
        <v>5</v>
      </c>
      <c r="E15" s="1">
        <f t="shared" si="0"/>
        <v>13</v>
      </c>
    </row>
    <row r="16" spans="1:23" x14ac:dyDescent="0.3">
      <c r="A16" s="1">
        <v>15</v>
      </c>
      <c r="B16" s="1">
        <v>3990.4</v>
      </c>
      <c r="C16" s="1">
        <f t="shared" si="1"/>
        <v>8.6955629648627859</v>
      </c>
      <c r="D16" s="1">
        <v>5.5</v>
      </c>
      <c r="E16" s="1">
        <f t="shared" si="0"/>
        <v>14</v>
      </c>
    </row>
    <row r="17" spans="1:5" x14ac:dyDescent="0.3">
      <c r="A17" s="1">
        <v>16</v>
      </c>
      <c r="B17" s="1">
        <v>3647.183</v>
      </c>
      <c r="C17" s="1">
        <f t="shared" si="1"/>
        <v>7.8152936650423186</v>
      </c>
      <c r="D17" s="1">
        <v>6</v>
      </c>
      <c r="E17" s="1">
        <f t="shared" si="0"/>
        <v>15</v>
      </c>
    </row>
    <row r="18" spans="1:5" x14ac:dyDescent="0.3">
      <c r="A18" s="1">
        <v>17</v>
      </c>
      <c r="B18" s="1">
        <v>3321.8519999999999</v>
      </c>
      <c r="C18" s="1">
        <f t="shared" si="1"/>
        <v>6.9808976660682216</v>
      </c>
      <c r="D18" s="1">
        <v>6.5</v>
      </c>
      <c r="E18" s="1">
        <f t="shared" si="0"/>
        <v>16</v>
      </c>
    </row>
    <row r="19" spans="1:5" x14ac:dyDescent="0.3">
      <c r="A19" s="1">
        <v>18</v>
      </c>
      <c r="B19" s="1">
        <v>3032.502</v>
      </c>
      <c r="C19" s="1">
        <f t="shared" si="1"/>
        <v>6.2387843036676074</v>
      </c>
      <c r="D19" s="1">
        <v>7</v>
      </c>
      <c r="E19" s="1">
        <f t="shared" si="0"/>
        <v>17</v>
      </c>
    </row>
    <row r="20" spans="1:5" x14ac:dyDescent="0.3">
      <c r="A20" s="1">
        <v>19</v>
      </c>
      <c r="B20" s="1">
        <v>2764.8960000000002</v>
      </c>
      <c r="C20" s="1">
        <f t="shared" si="1"/>
        <v>5.5524390869453715</v>
      </c>
      <c r="D20" s="1">
        <v>7.5</v>
      </c>
      <c r="E20" s="1">
        <f t="shared" si="0"/>
        <v>18</v>
      </c>
    </row>
    <row r="21" spans="1:5" x14ac:dyDescent="0.3">
      <c r="A21" s="1">
        <v>20</v>
      </c>
      <c r="B21" s="1">
        <v>2556.36</v>
      </c>
      <c r="C21" s="1">
        <f t="shared" si="1"/>
        <v>5.0175942549371637</v>
      </c>
      <c r="D21" s="1">
        <v>8</v>
      </c>
      <c r="E21" s="1">
        <f t="shared" si="0"/>
        <v>19</v>
      </c>
    </row>
    <row r="22" spans="1:5" x14ac:dyDescent="0.3">
      <c r="A22" s="1">
        <v>21</v>
      </c>
      <c r="B22" s="1">
        <v>2347.567</v>
      </c>
      <c r="C22" s="1">
        <f t="shared" si="1"/>
        <v>4.4820902795588609</v>
      </c>
      <c r="D22" s="1">
        <v>8.5</v>
      </c>
      <c r="E22" s="1">
        <f t="shared" si="0"/>
        <v>20</v>
      </c>
    </row>
    <row r="23" spans="1:5" x14ac:dyDescent="0.3">
      <c r="A23" s="1">
        <v>22</v>
      </c>
      <c r="B23" s="1">
        <v>2195.3829999999998</v>
      </c>
      <c r="C23" s="1">
        <f t="shared" si="1"/>
        <v>4.0917748140548857</v>
      </c>
      <c r="D23" s="1">
        <v>9</v>
      </c>
      <c r="E23" s="1">
        <f t="shared" si="0"/>
        <v>21</v>
      </c>
    </row>
    <row r="24" spans="1:5" x14ac:dyDescent="0.3">
      <c r="A24" s="1">
        <v>23</v>
      </c>
      <c r="B24" s="1">
        <v>2204.5360000000001</v>
      </c>
      <c r="C24" s="1">
        <f t="shared" si="1"/>
        <v>4.1152500641190048</v>
      </c>
      <c r="D24" s="1">
        <v>9.5</v>
      </c>
      <c r="E24" s="1">
        <f t="shared" si="0"/>
        <v>22</v>
      </c>
    </row>
    <row r="25" spans="1:5" x14ac:dyDescent="0.3">
      <c r="A25" s="1">
        <v>24</v>
      </c>
      <c r="B25" s="1">
        <v>2195.17</v>
      </c>
      <c r="C25" s="1">
        <f t="shared" si="1"/>
        <v>4.0912285201333676</v>
      </c>
      <c r="D25" s="1">
        <v>10</v>
      </c>
      <c r="E25" s="1">
        <f t="shared" si="0"/>
        <v>23</v>
      </c>
    </row>
    <row r="26" spans="1:5" x14ac:dyDescent="0.3">
      <c r="A26" s="1">
        <v>25</v>
      </c>
      <c r="B26" s="1">
        <v>2194.951</v>
      </c>
      <c r="C26" s="1">
        <f t="shared" si="1"/>
        <v>4.0906668376506801</v>
      </c>
      <c r="D26" s="1">
        <v>10.5</v>
      </c>
      <c r="E26" s="1">
        <f t="shared" si="0"/>
        <v>24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9712-11A7-B745-AFBF-9180425C10FA}">
  <dimension ref="A1"/>
  <sheetViews>
    <sheetView workbookViewId="0"/>
  </sheetViews>
  <sheetFormatPr defaultColWidth="11.07421875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Gradient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Itzhak Fishov</dc:creator>
  <cp:lastModifiedBy>מיכל דנישבסקי</cp:lastModifiedBy>
  <dcterms:created xsi:type="dcterms:W3CDTF">2026-09-10T07:16:29Z</dcterms:created>
  <dcterms:modified xsi:type="dcterms:W3CDTF">2026-09-10T08:03:27Z</dcterms:modified>
</cp:coreProperties>
</file>