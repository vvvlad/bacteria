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bacteria\data\Control-experiment\"/>
    </mc:Choice>
  </mc:AlternateContent>
  <xr:revisionPtr revIDLastSave="0" documentId="13_ncr:1_{4281A88A-B7A1-402F-9E2C-7BB2B5037F13}" xr6:coauthVersionLast="47" xr6:coauthVersionMax="47" xr10:uidLastSave="{00000000-0000-0000-0000-000000000000}"/>
  <bookViews>
    <workbookView xWindow="-110" yWindow="-110" windowWidth="19420" windowHeight="10300" xr2:uid="{E2D74AEA-9954-3040-9C34-3C3444CF6906}"/>
  </bookViews>
  <sheets>
    <sheet name="Grad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7" i="1"/>
  <c r="C26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<sst xmlns="http://schemas.openxmlformats.org/spreadsheetml/2006/main" count="11" uniqueCount="11">
  <si>
    <t>Rho Int</t>
  </si>
  <si>
    <t>Sucr %</t>
  </si>
  <si>
    <t>Time, min</t>
  </si>
  <si>
    <t>Gradient    28.06.23</t>
  </si>
  <si>
    <r>
      <t xml:space="preserve">Sucrose: 20% </t>
    </r>
    <r>
      <rPr>
        <sz val="14"/>
        <color theme="1"/>
        <rFont val="Wingdings"/>
        <charset val="2"/>
      </rPr>
      <t>à</t>
    </r>
    <r>
      <rPr>
        <sz val="14"/>
        <color theme="1"/>
        <rFont val="Arial"/>
        <family val="2"/>
        <scheme val="minor"/>
      </rPr>
      <t xml:space="preserve"> 0</t>
    </r>
    <r>
      <rPr>
        <sz val="14"/>
        <color theme="1"/>
        <rFont val="Calibri"/>
        <family val="2"/>
      </rPr>
      <t>% (4 layes, 0%-2.5 ml, 6ml total)</t>
    </r>
  </si>
  <si>
    <r>
      <t>RhoB: 2</t>
    </r>
    <r>
      <rPr>
        <sz val="14"/>
        <color theme="1"/>
        <rFont val="Calibri"/>
        <family val="2"/>
      </rPr>
      <t xml:space="preserve">µM concentr in 20% sucrose </t>
    </r>
    <r>
      <rPr>
        <sz val="14"/>
        <color theme="1"/>
        <rFont val="Wingdings"/>
        <charset val="2"/>
      </rPr>
      <t>à</t>
    </r>
    <r>
      <rPr>
        <sz val="14"/>
        <color theme="1"/>
        <rFont val="Calibri"/>
        <family val="2"/>
      </rPr>
      <t>0%</t>
    </r>
  </si>
  <si>
    <t>Gradient V: 6 ml</t>
  </si>
  <si>
    <t>Flow: 0.5 ml/min (12 min)</t>
  </si>
  <si>
    <t>Time lapse: Interval = 0.5 min; Duration = 15 min</t>
  </si>
  <si>
    <t>Channels: mCherry, Exposure time = 50 ms</t>
  </si>
  <si>
    <t>Frame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</si>
</sst>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theme="1"/>
      <name val="Wingdings"/>
      <charset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1" fillId="2" borderId="0" xfId="1"/>
    <xf numFmtId="0" fontId="1" fillId="3" borderId="0" xfId="2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3">
    <cellStyle name="20% - הדגשה1" xfId="1" builtinId="30"/>
    <cellStyle name="20% - הדגשה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Rho 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Gradient!$A$2:$A$32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Gradient!$B$2:$B$32</c:f>
              <c:numCache>
                <c:formatCode>General</c:formatCode>
                <c:ptCount val="31"/>
                <c:pt idx="2">
                  <c:v>7803.9719999999998</c:v>
                </c:pt>
                <c:pt idx="3">
                  <c:v>7458.2920000000004</c:v>
                </c:pt>
                <c:pt idx="4">
                  <c:v>6925.8339999999998</c:v>
                </c:pt>
                <c:pt idx="5">
                  <c:v>6490.6310000000003</c:v>
                </c:pt>
                <c:pt idx="6">
                  <c:v>5970.5010000000002</c:v>
                </c:pt>
                <c:pt idx="7">
                  <c:v>5470.2709999999997</c:v>
                </c:pt>
                <c:pt idx="8">
                  <c:v>4962.2430000000004</c:v>
                </c:pt>
                <c:pt idx="9">
                  <c:v>4515.2219999999998</c:v>
                </c:pt>
                <c:pt idx="10">
                  <c:v>4108.9219999999996</c:v>
                </c:pt>
                <c:pt idx="11">
                  <c:v>3762.8589999999999</c:v>
                </c:pt>
                <c:pt idx="12">
                  <c:v>3318.7020000000002</c:v>
                </c:pt>
                <c:pt idx="13">
                  <c:v>2996.88</c:v>
                </c:pt>
                <c:pt idx="14">
                  <c:v>2648.2579999999998</c:v>
                </c:pt>
                <c:pt idx="15">
                  <c:v>2334.9659999999999</c:v>
                </c:pt>
                <c:pt idx="16">
                  <c:v>2061.4349999999999</c:v>
                </c:pt>
                <c:pt idx="17">
                  <c:v>1814.2860000000001</c:v>
                </c:pt>
                <c:pt idx="18">
                  <c:v>1592.893</c:v>
                </c:pt>
                <c:pt idx="19">
                  <c:v>1398.377</c:v>
                </c:pt>
                <c:pt idx="20">
                  <c:v>1227.133</c:v>
                </c:pt>
                <c:pt idx="21">
                  <c:v>1086.6489999999999</c:v>
                </c:pt>
                <c:pt idx="22">
                  <c:v>941.20100000000002</c:v>
                </c:pt>
                <c:pt idx="23">
                  <c:v>844.28200000000004</c:v>
                </c:pt>
                <c:pt idx="24">
                  <c:v>885.41700000000003</c:v>
                </c:pt>
                <c:pt idx="25">
                  <c:v>885.23</c:v>
                </c:pt>
                <c:pt idx="26">
                  <c:v>895.90300000000002</c:v>
                </c:pt>
                <c:pt idx="27">
                  <c:v>826</c:v>
                </c:pt>
                <c:pt idx="28">
                  <c:v>757.14800000000002</c:v>
                </c:pt>
                <c:pt idx="29">
                  <c:v>710.66399999999999</c:v>
                </c:pt>
                <c:pt idx="30">
                  <c:v>706.55100000000004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2-4B45-BF54-D72F9023C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683568"/>
        <c:axId val="583678976"/>
      </c:scatterChart>
      <c:valAx>
        <c:axId val="5836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Image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78976"/>
        <c:crosses val="autoZero"/>
        <c:crossBetween val="midCat"/>
      </c:valAx>
      <c:valAx>
        <c:axId val="5836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8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 gradient</a:t>
            </a:r>
          </a:p>
        </c:rich>
      </c:tx>
      <c:layout>
        <c:manualLayout>
          <c:xMode val="edge"/>
          <c:yMode val="edge"/>
          <c:x val="0.48727077865266855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Gradient!$D$2:$D$32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</c:numCache>
            </c:numRef>
          </c:xVal>
          <c:yVal>
            <c:numRef>
              <c:f>Gradient!$C$2:$C$32</c:f>
              <c:numCache>
                <c:formatCode>General</c:formatCode>
                <c:ptCount val="31"/>
                <c:pt idx="0">
                  <c:v>20</c:v>
                </c:pt>
                <c:pt idx="1">
                  <c:v>20</c:v>
                </c:pt>
                <c:pt idx="2">
                  <c:v>19.99992117117117</c:v>
                </c:pt>
                <c:pt idx="3">
                  <c:v>19.026722972972973</c:v>
                </c:pt>
                <c:pt idx="4">
                  <c:v>17.527685810810809</c:v>
                </c:pt>
                <c:pt idx="5">
                  <c:v>16.302452139639641</c:v>
                </c:pt>
                <c:pt idx="6">
                  <c:v>14.838122184684686</c:v>
                </c:pt>
                <c:pt idx="7">
                  <c:v>13.429817004504505</c:v>
                </c:pt>
                <c:pt idx="8">
                  <c:v>11.999557995495497</c:v>
                </c:pt>
                <c:pt idx="9">
                  <c:v>10.741052927927928</c:v>
                </c:pt>
                <c:pt idx="10">
                  <c:v>9.5971903153153129</c:v>
                </c:pt>
                <c:pt idx="11">
                  <c:v>8.6229138513513508</c:v>
                </c:pt>
                <c:pt idx="12">
                  <c:v>7.3724718468468478</c:v>
                </c:pt>
                <c:pt idx="13">
                  <c:v>6.4664414414414422</c:v>
                </c:pt>
                <c:pt idx="14">
                  <c:v>5.4849605855855854</c:v>
                </c:pt>
                <c:pt idx="15">
                  <c:v>4.60294481981982</c:v>
                </c:pt>
                <c:pt idx="16">
                  <c:v>3.8328688063063061</c:v>
                </c:pt>
                <c:pt idx="17">
                  <c:v>3.1370664414414415</c:v>
                </c:pt>
                <c:pt idx="18">
                  <c:v>2.513775337837838</c:v>
                </c:pt>
                <c:pt idx="19">
                  <c:v>1.9661514639639639</c:v>
                </c:pt>
                <c:pt idx="20">
                  <c:v>1.4840456081081081</c:v>
                </c:pt>
                <c:pt idx="21">
                  <c:v>1.088538851351351</c:v>
                </c:pt>
                <c:pt idx="22">
                  <c:v>0.67905686936936938</c:v>
                </c:pt>
                <c:pt idx="23">
                  <c:v>0.6</c:v>
                </c:pt>
                <c:pt idx="24">
                  <c:v>0.52200731981981996</c:v>
                </c:pt>
                <c:pt idx="25">
                  <c:v>0.52148085585585591</c:v>
                </c:pt>
                <c:pt idx="26">
                  <c:v>0.5</c:v>
                </c:pt>
                <c:pt idx="27">
                  <c:v>0.35472972972972971</c:v>
                </c:pt>
                <c:pt idx="28">
                  <c:v>0.1608896396396397</c:v>
                </c:pt>
                <c:pt idx="29">
                  <c:v>3.0022522522522486E-2</c:v>
                </c:pt>
                <c:pt idx="30">
                  <c:v>1.8443130630630755E-2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6-9345-8CF1-1BD8418F9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670696"/>
        <c:axId val="508676600"/>
      </c:scatterChart>
      <c:valAx>
        <c:axId val="50867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6600"/>
        <c:crosses val="autoZero"/>
        <c:crossBetween val="midCat"/>
      </c:valAx>
      <c:valAx>
        <c:axId val="50867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Sucr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 gradient</a:t>
            </a:r>
          </a:p>
        </c:rich>
      </c:tx>
      <c:layout>
        <c:manualLayout>
          <c:xMode val="edge"/>
          <c:yMode val="edge"/>
          <c:x val="0.48727077865266855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Gradient!$A$2:$A$32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Gradient!$C$2:$C$32</c:f>
              <c:numCache>
                <c:formatCode>General</c:formatCode>
                <c:ptCount val="31"/>
                <c:pt idx="0">
                  <c:v>20</c:v>
                </c:pt>
                <c:pt idx="1">
                  <c:v>20</c:v>
                </c:pt>
                <c:pt idx="2">
                  <c:v>19.99992117117117</c:v>
                </c:pt>
                <c:pt idx="3">
                  <c:v>19.026722972972973</c:v>
                </c:pt>
                <c:pt idx="4">
                  <c:v>17.527685810810809</c:v>
                </c:pt>
                <c:pt idx="5">
                  <c:v>16.302452139639641</c:v>
                </c:pt>
                <c:pt idx="6">
                  <c:v>14.838122184684686</c:v>
                </c:pt>
                <c:pt idx="7">
                  <c:v>13.429817004504505</c:v>
                </c:pt>
                <c:pt idx="8">
                  <c:v>11.999557995495497</c:v>
                </c:pt>
                <c:pt idx="9">
                  <c:v>10.741052927927928</c:v>
                </c:pt>
                <c:pt idx="10">
                  <c:v>9.5971903153153129</c:v>
                </c:pt>
                <c:pt idx="11">
                  <c:v>8.6229138513513508</c:v>
                </c:pt>
                <c:pt idx="12">
                  <c:v>7.3724718468468478</c:v>
                </c:pt>
                <c:pt idx="13">
                  <c:v>6.4664414414414422</c:v>
                </c:pt>
                <c:pt idx="14">
                  <c:v>5.4849605855855854</c:v>
                </c:pt>
                <c:pt idx="15">
                  <c:v>4.60294481981982</c:v>
                </c:pt>
                <c:pt idx="16">
                  <c:v>3.8328688063063061</c:v>
                </c:pt>
                <c:pt idx="17">
                  <c:v>3.1370664414414415</c:v>
                </c:pt>
                <c:pt idx="18">
                  <c:v>2.513775337837838</c:v>
                </c:pt>
                <c:pt idx="19">
                  <c:v>1.9661514639639639</c:v>
                </c:pt>
                <c:pt idx="20">
                  <c:v>1.4840456081081081</c:v>
                </c:pt>
                <c:pt idx="21">
                  <c:v>1.088538851351351</c:v>
                </c:pt>
                <c:pt idx="22">
                  <c:v>0.67905686936936938</c:v>
                </c:pt>
                <c:pt idx="23">
                  <c:v>0.6</c:v>
                </c:pt>
                <c:pt idx="24">
                  <c:v>0.52200731981981996</c:v>
                </c:pt>
                <c:pt idx="25">
                  <c:v>0.52148085585585591</c:v>
                </c:pt>
                <c:pt idx="26">
                  <c:v>0.5</c:v>
                </c:pt>
                <c:pt idx="27">
                  <c:v>0.35472972972972971</c:v>
                </c:pt>
                <c:pt idx="28">
                  <c:v>0.1608896396396397</c:v>
                </c:pt>
                <c:pt idx="29">
                  <c:v>3.0022522522522486E-2</c:v>
                </c:pt>
                <c:pt idx="30">
                  <c:v>1.8443130630630755E-2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E-DB4B-A02D-047645FF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670696"/>
        <c:axId val="508676600"/>
      </c:scatterChart>
      <c:valAx>
        <c:axId val="50867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Frame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6600"/>
        <c:crosses val="autoZero"/>
        <c:crossBetween val="midCat"/>
      </c:valAx>
      <c:valAx>
        <c:axId val="50867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Sucr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rgbClr val="FF000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17</xdr:row>
      <xdr:rowOff>66675</xdr:rowOff>
    </xdr:from>
    <xdr:to>
      <xdr:col>13</xdr:col>
      <xdr:colOff>28575</xdr:colOff>
      <xdr:row>31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CBA25-35F1-FC47-A8C2-426985E34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388504</xdr:colOff>
      <xdr:row>17</xdr:row>
      <xdr:rowOff>19916</xdr:rowOff>
    </xdr:from>
    <xdr:to>
      <xdr:col>21</xdr:col>
      <xdr:colOff>83704</xdr:colOff>
      <xdr:row>34</xdr:row>
      <xdr:rowOff>78798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C0353-83B8-9A4E-9B37-DDB873279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345785</xdr:colOff>
      <xdr:row>0</xdr:row>
      <xdr:rowOff>159616</xdr:rowOff>
    </xdr:from>
    <xdr:to>
      <xdr:col>12</xdr:col>
      <xdr:colOff>44450</xdr:colOff>
      <xdr:row>15</xdr:row>
      <xdr:rowOff>93808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62227-1C71-9947-BC51-282F4D66D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8D116-B621-9143-87F4-397973ABA859}" name="Table1" displayName="Table1" ref="A1:D32" totalsRowShown="0">
  <autoFilter ref="A1:D32" xr:uid="{9CB8D116-B621-9143-87F4-397973ABA859}"/>
  <tableColumns count="4">
    <tableColumn id="1" xr3:uid="{094D666C-4CA4-6D42-A2E1-1E07AD3EABFC}" name="Frame #"/>
    <tableColumn id="2" xr3:uid="{19ACEAA2-952C-4841-BAE9-5CBAD211300B}" name="Rho Int"/>
    <tableColumn id="3" xr3:uid="{6DDE8344-EC39-8642-B09B-14D0C708A3EE}" name="Sucr %">
      <calculatedColumnFormula>(B2-700)*20/(7804-700)</calculatedColumnFormula>
    </tableColumn>
    <tableColumn id="4" xr3:uid="{0DD472B1-8B0F-6842-B864-E9F8F480F2EF}" name="Time, mi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D60A-8672-FB4C-8412-7DEC78F6EA8D}">
  <sheetPr codeName="Sheet2"/>
  <dimension ref="A1:W32"/>
  <sheetViews>
    <sheetView tabSelected="1" topLeftCell="A19" zoomScale="110" zoomScaleNormal="110" workbookViewId="0">
      <selection activeCell="C29" sqref="C29"/>
    </sheetView>
  </sheetViews>
  <sheetFormatPr defaultColWidth="8.83203125" defaultRowHeight="14" x14ac:dyDescent="0.3"/>
  <cols>
    <col min="1" max="1" width="9.33203125" customWidth="1"/>
    <col min="2" max="2" width="9" customWidth="1"/>
    <col min="4" max="4" width="11" customWidth="1"/>
  </cols>
  <sheetData>
    <row r="1" spans="1:23" x14ac:dyDescent="0.3">
      <c r="A1" t="s">
        <v>10</v>
      </c>
      <c r="B1" t="s">
        <v>0</v>
      </c>
      <c r="C1" t="s">
        <v>1</v>
      </c>
      <c r="D1" t="s">
        <v>2</v>
      </c>
    </row>
    <row r="2" spans="1:23" ht="15.5" x14ac:dyDescent="0.35">
      <c r="A2" s="1">
        <v>0</v>
      </c>
      <c r="C2" s="2">
        <v>20</v>
      </c>
      <c r="D2">
        <v>0</v>
      </c>
    </row>
    <row r="3" spans="1:23" ht="15.5" x14ac:dyDescent="0.35">
      <c r="A3" s="1">
        <v>1</v>
      </c>
      <c r="C3" s="2">
        <v>20</v>
      </c>
      <c r="D3">
        <v>0.5</v>
      </c>
    </row>
    <row r="4" spans="1:23" ht="16" thickBot="1" x14ac:dyDescent="0.4">
      <c r="A4" s="1">
        <v>2</v>
      </c>
      <c r="B4">
        <v>7803.9719999999998</v>
      </c>
      <c r="C4" s="2">
        <f t="shared" ref="C4:C32" si="0">(B4-700)*20/(7804-700)</f>
        <v>19.99992117117117</v>
      </c>
      <c r="D4">
        <v>1</v>
      </c>
    </row>
    <row r="5" spans="1:23" ht="20" x14ac:dyDescent="0.4">
      <c r="A5" s="1">
        <v>3</v>
      </c>
      <c r="B5">
        <v>7458.2920000000004</v>
      </c>
      <c r="C5" s="2">
        <f t="shared" si="0"/>
        <v>19.026722972972973</v>
      </c>
      <c r="D5">
        <v>1.5</v>
      </c>
      <c r="R5" s="9" t="s">
        <v>3</v>
      </c>
      <c r="S5" s="10"/>
      <c r="T5" s="10"/>
      <c r="U5" s="10"/>
      <c r="V5" s="10"/>
      <c r="W5" s="11"/>
    </row>
    <row r="6" spans="1:23" ht="18.5" x14ac:dyDescent="0.45">
      <c r="A6" s="1">
        <v>4</v>
      </c>
      <c r="B6">
        <v>6925.8339999999998</v>
      </c>
      <c r="C6" s="2">
        <f t="shared" si="0"/>
        <v>17.527685810810809</v>
      </c>
      <c r="D6">
        <v>2</v>
      </c>
      <c r="R6" s="3" t="s">
        <v>4</v>
      </c>
      <c r="S6" s="4"/>
      <c r="T6" s="4"/>
      <c r="U6" s="4"/>
      <c r="V6" s="4"/>
      <c r="W6" s="5"/>
    </row>
    <row r="7" spans="1:23" ht="18.5" x14ac:dyDescent="0.45">
      <c r="A7" s="1">
        <v>5</v>
      </c>
      <c r="B7">
        <v>6490.6310000000003</v>
      </c>
      <c r="C7" s="2">
        <f t="shared" si="0"/>
        <v>16.302452139639641</v>
      </c>
      <c r="D7">
        <v>2.5</v>
      </c>
      <c r="R7" s="3" t="s">
        <v>5</v>
      </c>
      <c r="S7" s="4"/>
      <c r="T7" s="4"/>
      <c r="U7" s="4"/>
      <c r="V7" s="4"/>
      <c r="W7" s="5"/>
    </row>
    <row r="8" spans="1:23" ht="17.5" x14ac:dyDescent="0.35">
      <c r="A8" s="1">
        <v>6</v>
      </c>
      <c r="B8">
        <v>5970.5010000000002</v>
      </c>
      <c r="C8" s="2">
        <f t="shared" si="0"/>
        <v>14.838122184684686</v>
      </c>
      <c r="D8">
        <v>3</v>
      </c>
      <c r="R8" s="3" t="s">
        <v>6</v>
      </c>
      <c r="S8" s="4"/>
      <c r="T8" s="4"/>
      <c r="U8" s="4"/>
      <c r="V8" s="4"/>
      <c r="W8" s="5"/>
    </row>
    <row r="9" spans="1:23" ht="17.5" x14ac:dyDescent="0.35">
      <c r="A9" s="1">
        <v>7</v>
      </c>
      <c r="B9">
        <v>5470.2709999999997</v>
      </c>
      <c r="C9" s="2">
        <f t="shared" si="0"/>
        <v>13.429817004504505</v>
      </c>
      <c r="D9">
        <v>3.5</v>
      </c>
      <c r="R9" s="3" t="s">
        <v>7</v>
      </c>
      <c r="S9" s="4"/>
      <c r="T9" s="4"/>
      <c r="U9" s="4"/>
      <c r="V9" s="4"/>
      <c r="W9" s="5"/>
    </row>
    <row r="10" spans="1:23" ht="17.5" x14ac:dyDescent="0.35">
      <c r="A10" s="1">
        <v>8</v>
      </c>
      <c r="B10">
        <v>4962.2430000000004</v>
      </c>
      <c r="C10" s="2">
        <f t="shared" si="0"/>
        <v>11.999557995495497</v>
      </c>
      <c r="D10">
        <v>4</v>
      </c>
      <c r="R10" s="3" t="s">
        <v>8</v>
      </c>
      <c r="S10" s="4"/>
      <c r="T10" s="4"/>
      <c r="U10" s="4"/>
      <c r="V10" s="4"/>
      <c r="W10" s="5"/>
    </row>
    <row r="11" spans="1:23" ht="17.5" x14ac:dyDescent="0.35">
      <c r="A11" s="1">
        <v>9</v>
      </c>
      <c r="B11">
        <v>4515.2219999999998</v>
      </c>
      <c r="C11" s="2">
        <f t="shared" si="0"/>
        <v>10.741052927927928</v>
      </c>
      <c r="D11">
        <v>4.5</v>
      </c>
      <c r="R11" s="3" t="s">
        <v>9</v>
      </c>
      <c r="S11" s="4"/>
      <c r="T11" s="4"/>
      <c r="U11" s="4"/>
      <c r="V11" s="4"/>
      <c r="W11" s="5"/>
    </row>
    <row r="12" spans="1:23" ht="16" thickBot="1" x14ac:dyDescent="0.4">
      <c r="A12" s="1">
        <v>10</v>
      </c>
      <c r="B12">
        <v>4108.9219999999996</v>
      </c>
      <c r="C12" s="2">
        <f t="shared" si="0"/>
        <v>9.5971903153153129</v>
      </c>
      <c r="D12">
        <v>5</v>
      </c>
      <c r="R12" s="6"/>
      <c r="S12" s="7"/>
      <c r="T12" s="7"/>
      <c r="U12" s="7"/>
      <c r="V12" s="7"/>
      <c r="W12" s="8"/>
    </row>
    <row r="13" spans="1:23" ht="15.5" x14ac:dyDescent="0.35">
      <c r="A13" s="1">
        <v>11</v>
      </c>
      <c r="B13">
        <v>3762.8589999999999</v>
      </c>
      <c r="C13" s="2">
        <f t="shared" si="0"/>
        <v>8.6229138513513508</v>
      </c>
      <c r="D13">
        <v>5.5</v>
      </c>
    </row>
    <row r="14" spans="1:23" ht="15.5" x14ac:dyDescent="0.35">
      <c r="A14" s="1">
        <v>12</v>
      </c>
      <c r="B14">
        <v>3318.7020000000002</v>
      </c>
      <c r="C14" s="2">
        <f t="shared" si="0"/>
        <v>7.3724718468468478</v>
      </c>
      <c r="D14">
        <v>6</v>
      </c>
    </row>
    <row r="15" spans="1:23" ht="15.5" x14ac:dyDescent="0.35">
      <c r="A15" s="1">
        <v>13</v>
      </c>
      <c r="B15">
        <v>2996.88</v>
      </c>
      <c r="C15" s="2">
        <f t="shared" si="0"/>
        <v>6.4664414414414422</v>
      </c>
      <c r="D15">
        <v>6.5</v>
      </c>
    </row>
    <row r="16" spans="1:23" ht="15.5" x14ac:dyDescent="0.35">
      <c r="A16" s="1">
        <v>14</v>
      </c>
      <c r="B16">
        <v>2648.2579999999998</v>
      </c>
      <c r="C16" s="2">
        <f t="shared" si="0"/>
        <v>5.4849605855855854</v>
      </c>
      <c r="D16">
        <v>7</v>
      </c>
    </row>
    <row r="17" spans="1:4" ht="15.5" x14ac:dyDescent="0.35">
      <c r="A17" s="1">
        <v>15</v>
      </c>
      <c r="B17">
        <v>2334.9659999999999</v>
      </c>
      <c r="C17" s="2">
        <f t="shared" si="0"/>
        <v>4.60294481981982</v>
      </c>
      <c r="D17">
        <v>7.5</v>
      </c>
    </row>
    <row r="18" spans="1:4" ht="15.5" x14ac:dyDescent="0.35">
      <c r="A18" s="1">
        <v>16</v>
      </c>
      <c r="B18">
        <v>2061.4349999999999</v>
      </c>
      <c r="C18" s="2">
        <f t="shared" si="0"/>
        <v>3.8328688063063061</v>
      </c>
      <c r="D18">
        <v>8</v>
      </c>
    </row>
    <row r="19" spans="1:4" ht="15.5" x14ac:dyDescent="0.35">
      <c r="A19" s="1">
        <v>17</v>
      </c>
      <c r="B19">
        <v>1814.2860000000001</v>
      </c>
      <c r="C19" s="2">
        <f t="shared" si="0"/>
        <v>3.1370664414414415</v>
      </c>
      <c r="D19">
        <v>8.5</v>
      </c>
    </row>
    <row r="20" spans="1:4" ht="15.5" x14ac:dyDescent="0.35">
      <c r="A20" s="1">
        <v>18</v>
      </c>
      <c r="B20">
        <v>1592.893</v>
      </c>
      <c r="C20" s="2">
        <f t="shared" si="0"/>
        <v>2.513775337837838</v>
      </c>
      <c r="D20">
        <v>9</v>
      </c>
    </row>
    <row r="21" spans="1:4" ht="15.5" x14ac:dyDescent="0.35">
      <c r="A21" s="1">
        <v>19</v>
      </c>
      <c r="B21">
        <v>1398.377</v>
      </c>
      <c r="C21" s="2">
        <f t="shared" si="0"/>
        <v>1.9661514639639639</v>
      </c>
      <c r="D21">
        <v>9.5</v>
      </c>
    </row>
    <row r="22" spans="1:4" ht="15.5" x14ac:dyDescent="0.35">
      <c r="A22" s="1">
        <v>20</v>
      </c>
      <c r="B22">
        <v>1227.133</v>
      </c>
      <c r="C22" s="2">
        <f t="shared" si="0"/>
        <v>1.4840456081081081</v>
      </c>
      <c r="D22">
        <v>10</v>
      </c>
    </row>
    <row r="23" spans="1:4" ht="15.5" x14ac:dyDescent="0.35">
      <c r="A23" s="1">
        <v>21</v>
      </c>
      <c r="B23">
        <v>1086.6489999999999</v>
      </c>
      <c r="C23" s="2">
        <f t="shared" si="0"/>
        <v>1.088538851351351</v>
      </c>
      <c r="D23">
        <v>10.5</v>
      </c>
    </row>
    <row r="24" spans="1:4" ht="15.5" x14ac:dyDescent="0.35">
      <c r="A24" s="1">
        <v>22</v>
      </c>
      <c r="B24">
        <v>941.20100000000002</v>
      </c>
      <c r="C24" s="2">
        <f t="shared" si="0"/>
        <v>0.67905686936936938</v>
      </c>
      <c r="D24">
        <v>11</v>
      </c>
    </row>
    <row r="25" spans="1:4" ht="15.5" x14ac:dyDescent="0.35">
      <c r="A25" s="1">
        <v>23</v>
      </c>
      <c r="B25">
        <v>844.28200000000004</v>
      </c>
      <c r="C25" s="2">
        <v>0.6</v>
      </c>
      <c r="D25">
        <v>11.5</v>
      </c>
    </row>
    <row r="26" spans="1:4" ht="15.5" x14ac:dyDescent="0.35">
      <c r="A26" s="1">
        <v>24</v>
      </c>
      <c r="B26">
        <v>885.41700000000003</v>
      </c>
      <c r="C26" s="2">
        <f t="shared" si="0"/>
        <v>0.52200731981981996</v>
      </c>
      <c r="D26">
        <v>12</v>
      </c>
    </row>
    <row r="27" spans="1:4" ht="15.5" x14ac:dyDescent="0.35">
      <c r="A27" s="1">
        <v>25</v>
      </c>
      <c r="B27">
        <v>885.23</v>
      </c>
      <c r="C27" s="2">
        <f t="shared" si="0"/>
        <v>0.52148085585585591</v>
      </c>
      <c r="D27">
        <v>12.5</v>
      </c>
    </row>
    <row r="28" spans="1:4" ht="15.5" x14ac:dyDescent="0.35">
      <c r="A28" s="1">
        <v>26</v>
      </c>
      <c r="B28">
        <v>895.90300000000002</v>
      </c>
      <c r="C28" s="2">
        <v>0.5</v>
      </c>
      <c r="D28">
        <v>13</v>
      </c>
    </row>
    <row r="29" spans="1:4" ht="15.5" x14ac:dyDescent="0.35">
      <c r="A29" s="1">
        <v>27</v>
      </c>
      <c r="B29">
        <v>826</v>
      </c>
      <c r="C29" s="2">
        <f t="shared" si="0"/>
        <v>0.35472972972972971</v>
      </c>
      <c r="D29">
        <v>13.5</v>
      </c>
    </row>
    <row r="30" spans="1:4" ht="15.5" x14ac:dyDescent="0.35">
      <c r="A30" s="1">
        <v>28</v>
      </c>
      <c r="B30">
        <v>757.14800000000002</v>
      </c>
      <c r="C30" s="2">
        <f t="shared" si="0"/>
        <v>0.1608896396396397</v>
      </c>
      <c r="D30">
        <v>14</v>
      </c>
    </row>
    <row r="31" spans="1:4" ht="15.5" x14ac:dyDescent="0.35">
      <c r="A31" s="1">
        <v>29</v>
      </c>
      <c r="B31">
        <v>710.66399999999999</v>
      </c>
      <c r="C31" s="2">
        <f t="shared" si="0"/>
        <v>3.0022522522522486E-2</v>
      </c>
      <c r="D31">
        <v>14.5</v>
      </c>
    </row>
    <row r="32" spans="1:4" ht="15.5" x14ac:dyDescent="0.35">
      <c r="A32" s="1">
        <v>30</v>
      </c>
      <c r="B32">
        <v>706.55100000000004</v>
      </c>
      <c r="C32" s="2">
        <f t="shared" si="0"/>
        <v>1.8443130630630755E-2</v>
      </c>
      <c r="D32">
        <v>15</v>
      </c>
    </row>
  </sheetData>
  <mergeCells count="8">
    <mergeCell ref="R11:W11"/>
    <mergeCell ref="R12:W12"/>
    <mergeCell ref="R5:W5"/>
    <mergeCell ref="R6:W6"/>
    <mergeCell ref="R7:W7"/>
    <mergeCell ref="R8:W8"/>
    <mergeCell ref="R9:W9"/>
    <mergeCell ref="R10:W10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Gradient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Itzhak Fishov</dc:creator>
  <cp:lastModifiedBy>מיכל דנישבסקי</cp:lastModifiedBy>
  <dcterms:created xsi:type="dcterms:W3CDTF">2026-08-06T16:42:42Z</dcterms:created>
  <dcterms:modified xsi:type="dcterms:W3CDTF">2026-09-11T09:10:24Z</dcterms:modified>
</cp:coreProperties>
</file>